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kan\Desktop\Git_Manufacturing\Python_files\"/>
    </mc:Choice>
  </mc:AlternateContent>
  <xr:revisionPtr revIDLastSave="0" documentId="13_ncr:1_{D817BC48-8824-4CDD-8BD8-319438F6551A}" xr6:coauthVersionLast="47" xr6:coauthVersionMax="47" xr10:uidLastSave="{00000000-0000-0000-0000-000000000000}"/>
  <bookViews>
    <workbookView xWindow="-120" yWindow="-120" windowWidth="29040" windowHeight="15840" xr2:uid="{FF74191B-AD33-4F27-8854-3C92FE1C7097}"/>
  </bookViews>
  <sheets>
    <sheet name="Sheet1" sheetId="1" r:id="rId1"/>
    <sheet name="Sheet2" sheetId="2" r:id="rId2"/>
  </sheets>
  <definedNames>
    <definedName name="_xlnm._FilterDatabase" localSheetId="0" hidden="1">Sheet1!$U$1:$U$39</definedName>
    <definedName name="ExternalData_1" localSheetId="0" hidden="1">Sheet1!$A$1:$R$38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ineUp-a370d0b7-e766-47b9-9854-dfd1c95f9b4a" name="LineUp" connection="Query - LineUp"/>
          <x15:modelTable id="Products Names-c0a70a00-ce3a-456a-b581-3f5ba7cda461" name="Products Names" connection="Query - Products Names"/>
        </x15:modelTables>
        <x15:modelRelationships>
          <x15:modelRelationship fromTable="LineUp" fromColumn="Product" toTable="Products Names" toColumn="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ineUp" columnName="Date" columnId="Date">
                <x16:calculatedTimeColumn columnName="Date (Month Index)1" columnId="Date (Month Index)1" contentType="monthsindex" isSelected="1"/>
                <x16:calculatedTimeColumn columnName="Date (Month)1" columnId="Date (Month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EC19AC-ED61-4E55-816D-03F24C6579DD}" keepAlive="1" name="ModelConnection_ExternalData_1" description="Data Model" type="5" refreshedVersion="8" minRefreshableVersion="5" saveData="1">
    <dbPr connection="Data Model Connection" command="LineUp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94E1338-10AC-4107-AA91-2D49936DB403}" name="Query - LineUp" description="Connection to the 'LineUp' query in the workbook." type="100" refreshedVersion="8" minRefreshableVersion="5">
    <extLst>
      <ext xmlns:x15="http://schemas.microsoft.com/office/spreadsheetml/2010/11/main" uri="{DE250136-89BD-433C-8126-D09CA5730AF9}">
        <x15:connection id="3ccec345-c762-4960-a95e-aeeb65edd5e8">
          <x15:oledbPr connection="Provider=Microsoft.Mashup.OleDb.1;Data Source=$Workbook$;Location=LineUp;Extended Properties=&quot;&quot;">
            <x15:dbTables>
              <x15:dbTable name="LineUp"/>
            </x15:dbTables>
          </x15:oledbPr>
        </x15:connection>
      </ext>
    </extLst>
  </connection>
  <connection id="3" xr16:uid="{8911969A-D625-4D40-A85B-4989EECEDF95}" name="Query - Products Names" description="Connection to the 'Products Names' query in the workbook." type="100" refreshedVersion="8" minRefreshableVersion="5">
    <extLst>
      <ext xmlns:x15="http://schemas.microsoft.com/office/spreadsheetml/2010/11/main" uri="{DE250136-89BD-433C-8126-D09CA5730AF9}">
        <x15:connection id="3397896a-46a3-4c14-bf6e-35537c4b9298">
          <x15:oledbPr connection="Provider=Microsoft.Mashup.OleDb.1;Data Source=$Workbook$;Location=&quot;Products Names&quot;;Extended Properties=&quot;&quot;">
            <x15:dbTables>
              <x15:dbTable name="Products Names"/>
            </x15:dbTables>
          </x15:oledbPr>
        </x15:connection>
      </ext>
    </extLst>
  </connection>
  <connection id="4" xr16:uid="{7E59B699-6877-44F8-A5FB-AEF0F654CE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<sst xmlns="http://schemas.openxmlformats.org/spreadsheetml/2006/main" count="318" uniqueCount="53">
  <si>
    <t>Product</t>
  </si>
  <si>
    <t>Operator</t>
  </si>
  <si>
    <t>End Time</t>
  </si>
  <si>
    <t>Time Difference</t>
  </si>
  <si>
    <t>Start Time (Hour)</t>
  </si>
  <si>
    <t>Start Time (Minute)</t>
  </si>
  <si>
    <t>Date (Month Index)</t>
  </si>
  <si>
    <t>Date (Month)</t>
  </si>
  <si>
    <t>End Time (Hour)</t>
  </si>
  <si>
    <t>End Time (Minute)</t>
  </si>
  <si>
    <t>Date (Month Index)1</t>
  </si>
  <si>
    <t>Date (Month)1</t>
  </si>
  <si>
    <t>New Min Batch Time</t>
  </si>
  <si>
    <t>OR-600</t>
  </si>
  <si>
    <t>Mac</t>
  </si>
  <si>
    <t>11</t>
  </si>
  <si>
    <t>12</t>
  </si>
  <si>
    <t>Αυγ</t>
  </si>
  <si>
    <t>14</t>
  </si>
  <si>
    <t>LE-600</t>
  </si>
  <si>
    <t>15</t>
  </si>
  <si>
    <t>17</t>
  </si>
  <si>
    <t>19</t>
  </si>
  <si>
    <t>Charlie</t>
  </si>
  <si>
    <t>20</t>
  </si>
  <si>
    <t>21</t>
  </si>
  <si>
    <t>22</t>
  </si>
  <si>
    <t>CO-600</t>
  </si>
  <si>
    <t>Dee</t>
  </si>
  <si>
    <t>4</t>
  </si>
  <si>
    <t>6</t>
  </si>
  <si>
    <t>7</t>
  </si>
  <si>
    <t>9</t>
  </si>
  <si>
    <t>Dennis</t>
  </si>
  <si>
    <t>10</t>
  </si>
  <si>
    <t>18</t>
  </si>
  <si>
    <t>23</t>
  </si>
  <si>
    <t>DC-600</t>
  </si>
  <si>
    <t>16</t>
  </si>
  <si>
    <t>RB-600</t>
  </si>
  <si>
    <t>1</t>
  </si>
  <si>
    <t>Σεπ</t>
  </si>
  <si>
    <t>2</t>
  </si>
  <si>
    <t>5</t>
  </si>
  <si>
    <t>8</t>
  </si>
  <si>
    <t>CO-2L</t>
  </si>
  <si>
    <t>Batch Overtime</t>
  </si>
  <si>
    <t>Order_ID</t>
  </si>
  <si>
    <t>Order_Type</t>
  </si>
  <si>
    <t>Code</t>
  </si>
  <si>
    <t>ProcessDate2</t>
  </si>
  <si>
    <t>Start time</t>
  </si>
  <si>
    <t>Time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</si>
</sst>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71B052F-07B3-4AEB-B260-741F27F4A3F5}" autoFormatId="16" applyNumberFormats="0" applyBorderFormats="0" applyFontFormats="0" applyPatternFormats="0" applyAlignmentFormats="0" applyWidthHeightFormats="0">
  <queryTableRefresh nextId="24" unboundColumnsRight="2">
    <queryTableFields count="20">
      <queryTableField id="1" name="Date" tableColumnId="1"/>
      <queryTableField id="20" dataBound="0" tableColumnId="17"/>
      <queryTableField id="19" dataBound="0" tableColumnId="19"/>
      <queryTableField id="21" dataBound="0" tableColumnId="20"/>
      <queryTableField id="22" dataBound="0" tableColumnId="21"/>
      <queryTableField id="2" name="Product" tableColumnId="2"/>
      <queryTableField id="5" name="Start Time" tableColumnId="5"/>
      <queryTableField id="6" name="End Time" tableColumnId="6"/>
      <queryTableField id="7" name="Time Difference" tableColumnId="7"/>
      <queryTableField id="8" name="Start Time (Hour)" tableColumnId="8"/>
      <queryTableField id="9" name="Start Time (Minute)" tableColumnId="9"/>
      <queryTableField id="10" name="Date (Month Index)" tableColumnId="10"/>
      <queryTableField id="11" name="Date (Month)" tableColumnId="11"/>
      <queryTableField id="12" name="End Time (Hour)" tableColumnId="12"/>
      <queryTableField id="13" name="End Time (Minute)" tableColumnId="13"/>
      <queryTableField id="14" name="Date (Month Index)1" tableColumnId="14"/>
      <queryTableField id="15" name="Date (Month)1" tableColumnId="15"/>
      <queryTableField id="16" name="New Min Batch Time" tableColumnId="16"/>
      <queryTableField id="23" dataBound="0" tableColumnId="3"/>
      <queryTableField id="18" dataBound="0" tableColumnId="18"/>
    </queryTableFields>
    <queryTableDeletedFields count="3">
      <deletedField name="Calculated Column 1"/>
      <deletedField name="Operator"/>
      <deletedField name="Batc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8DE80-6B27-4686-BB73-1E299A43FE23}" name="LineUp" displayName="LineUp" ref="A1:T38" tableType="queryTable" totalsRowShown="0">
  <autoFilter ref="A1:T38" xr:uid="{8C88DE80-6B27-4686-BB73-1E299A43FE23}"/>
  <tableColumns count="20">
    <tableColumn id="1" xr3:uid="{A79C5DD8-3A47-4748-9484-0D15005C0223}" uniqueName="1" name="ProcessDate2" queryTableFieldId="1" dataDxfId="7"/>
    <tableColumn id="17" xr3:uid="{F9769931-E98E-4426-9414-985E9AC32CBB}" uniqueName="17" name="Order_ID" queryTableFieldId="20" dataDxfId="6"/>
    <tableColumn id="19" xr3:uid="{CA3B8032-8D3F-4A5B-BF14-AF2818548BF1}" uniqueName="19" name="Order_Type" queryTableFieldId="19" dataDxfId="5"/>
    <tableColumn id="20" xr3:uid="{7D90D0B0-2A57-46C8-93C6-61DAB2495A90}" uniqueName="20" name="Operator" queryTableFieldId="21" dataDxfId="4"/>
    <tableColumn id="21" xr3:uid="{B7C8BD4C-B011-4EA5-93F2-8CCD705F9460}" uniqueName="21" name="Code" queryTableFieldId="22"/>
    <tableColumn id="2" xr3:uid="{916CA672-1507-4769-8F3C-229E282C5EC5}" uniqueName="2" name="Product" queryTableFieldId="2" dataDxfId="3"/>
    <tableColumn id="5" xr3:uid="{C56769F2-E67C-4154-B06E-119ADA1D9866}" uniqueName="5" name="Start time" queryTableFieldId="5" dataDxfId="2"/>
    <tableColumn id="6" xr3:uid="{0F18BF4A-25BE-4CAB-84E6-085C2B4FDFCB}" uniqueName="6" name="End Time" queryTableFieldId="6" dataDxfId="1"/>
    <tableColumn id="7" xr3:uid="{F34BBF93-C908-4C60-947C-2F0581319433}" uniqueName="7" name="Time Difference" queryTableFieldId="7"/>
    <tableColumn id="8" xr3:uid="{EE98DF09-FC7B-4868-9101-341E6CE342B7}" uniqueName="8" name="Start Time (Hour)" queryTableFieldId="8"/>
    <tableColumn id="9" xr3:uid="{2F8C86BF-8579-4AEF-BA06-86A3020A7E29}" uniqueName="9" name="Start Time (Minute)" queryTableFieldId="9"/>
    <tableColumn id="10" xr3:uid="{AD82F96A-D641-45E2-BF1F-0747B94A8672}" uniqueName="10" name="Date (Month Index)" queryTableFieldId="10"/>
    <tableColumn id="11" xr3:uid="{EC7162AC-8E3A-468C-A323-2A8D2A8AEBEF}" uniqueName="11" name="Date (Month)" queryTableFieldId="11"/>
    <tableColumn id="12" xr3:uid="{8ED70CBC-2D2C-40C3-9CBF-45DBD8088420}" uniqueName="12" name="End Time (Hour)" queryTableFieldId="12"/>
    <tableColumn id="13" xr3:uid="{3C933477-52BB-4E0C-8DFB-F78A947D353C}" uniqueName="13" name="End Time (Minute)" queryTableFieldId="13"/>
    <tableColumn id="14" xr3:uid="{3495EE51-04C5-4355-BAA6-A6737938E904}" uniqueName="14" name="Date (Month Index)1" queryTableFieldId="14"/>
    <tableColumn id="15" xr3:uid="{D9DD62A9-B8E8-446D-B0D5-E2E88B9682C8}" uniqueName="15" name="Date (Month)1" queryTableFieldId="15"/>
    <tableColumn id="16" xr3:uid="{CE9B9CD8-5FCB-4F02-BAEA-457D8DA3763F}" uniqueName="16" name="New Min Batch Time" queryTableFieldId="16"/>
    <tableColumn id="3" xr3:uid="{96456276-5517-49F5-A0BC-12C3E36110FB}" uniqueName="3" name="Time Ratio" queryTableFieldId="23" dataDxfId="0">
      <calculatedColumnFormula>LineUp[[#This Row],[Time Difference]]/LineUp[[#This Row],[New Min Batch Time]]</calculatedColumnFormula>
    </tableColumn>
    <tableColumn id="18" xr3:uid="{C3DDA1A8-2A3A-4E8C-A852-3BE488BEC672}" uniqueName="18" name="Batch Overtim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9CA3-1B3E-4877-B9D9-A08B1154E00C}">
  <dimension ref="A1:U38"/>
  <sheetViews>
    <sheetView tabSelected="1" zoomScale="90" zoomScaleNormal="90" workbookViewId="0">
      <selection activeCell="L39" sqref="L39"/>
    </sheetView>
  </sheetViews>
  <sheetFormatPr defaultRowHeight="15" x14ac:dyDescent="0.25"/>
  <cols>
    <col min="1" max="1" width="17.85546875" bestFit="1" customWidth="1"/>
    <col min="2" max="2" width="13.5703125" bestFit="1" customWidth="1"/>
    <col min="3" max="3" width="16" bestFit="1" customWidth="1"/>
    <col min="4" max="5" width="16" customWidth="1"/>
    <col min="6" max="6" width="10.42578125" bestFit="1" customWidth="1"/>
    <col min="7" max="7" width="15" bestFit="1" customWidth="1"/>
    <col min="8" max="8" width="11.5703125" bestFit="1" customWidth="1"/>
    <col min="9" max="9" width="18" bestFit="1" customWidth="1"/>
    <col min="10" max="10" width="18.85546875" bestFit="1" customWidth="1"/>
    <col min="11" max="12" width="20.85546875" bestFit="1" customWidth="1"/>
    <col min="13" max="13" width="15.140625" bestFit="1" customWidth="1"/>
    <col min="14" max="14" width="18" bestFit="1" customWidth="1"/>
    <col min="15" max="15" width="20" bestFit="1" customWidth="1"/>
    <col min="16" max="16" width="21.85546875" bestFit="1" customWidth="1"/>
    <col min="17" max="17" width="16.28515625" bestFit="1" customWidth="1"/>
    <col min="18" max="18" width="21.5703125" bestFit="1" customWidth="1"/>
    <col min="19" max="20" width="21.5703125" customWidth="1"/>
    <col min="21" max="21" width="15" bestFit="1" customWidth="1"/>
  </cols>
  <sheetData>
    <row r="1" spans="1:21" x14ac:dyDescent="0.25">
      <c r="A1" s="4" t="s">
        <v>50</v>
      </c>
      <c r="B1" s="4" t="s">
        <v>47</v>
      </c>
      <c r="C1" s="4" t="s">
        <v>48</v>
      </c>
      <c r="D1" s="4" t="s">
        <v>1</v>
      </c>
      <c r="E1" t="s">
        <v>49</v>
      </c>
      <c r="F1" t="s">
        <v>0</v>
      </c>
      <c r="G1" s="4" t="s">
        <v>51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52</v>
      </c>
      <c r="T1" t="s">
        <v>46</v>
      </c>
      <c r="U1" s="3"/>
    </row>
    <row r="2" spans="1:21" x14ac:dyDescent="0.25">
      <c r="A2" s="1">
        <v>45533</v>
      </c>
      <c r="B2">
        <v>1</v>
      </c>
      <c r="C2" s="5">
        <v>1</v>
      </c>
      <c r="D2" t="s">
        <v>14</v>
      </c>
      <c r="E2">
        <v>1</v>
      </c>
      <c r="F2" t="s">
        <v>13</v>
      </c>
      <c r="G2" s="2">
        <v>0.49305555555555558</v>
      </c>
      <c r="H2" s="2">
        <v>0.58680555555555558</v>
      </c>
      <c r="I2">
        <v>135</v>
      </c>
      <c r="J2" t="s">
        <v>15</v>
      </c>
      <c r="K2" t="s">
        <v>16</v>
      </c>
      <c r="L2">
        <v>8</v>
      </c>
      <c r="M2" t="s">
        <v>17</v>
      </c>
      <c r="N2" t="s">
        <v>18</v>
      </c>
      <c r="O2" t="s">
        <v>16</v>
      </c>
      <c r="P2">
        <v>8</v>
      </c>
      <c r="Q2" t="s">
        <v>17</v>
      </c>
      <c r="R2">
        <v>60</v>
      </c>
      <c r="S2" s="6">
        <f>LineUp[[#This Row],[Time Difference]]/LineUp[[#This Row],[New Min Batch Time]]</f>
        <v>2.25</v>
      </c>
      <c r="T2">
        <v>75</v>
      </c>
    </row>
    <row r="3" spans="1:21" x14ac:dyDescent="0.25">
      <c r="A3" s="1">
        <v>45533</v>
      </c>
      <c r="B3">
        <v>1</v>
      </c>
      <c r="C3" s="5">
        <v>1</v>
      </c>
      <c r="D3" t="s">
        <v>14</v>
      </c>
      <c r="E3">
        <v>2</v>
      </c>
      <c r="F3" t="s">
        <v>19</v>
      </c>
      <c r="G3" s="2">
        <v>0.58680555555555558</v>
      </c>
      <c r="H3" s="2">
        <v>0.65625</v>
      </c>
      <c r="I3">
        <v>100</v>
      </c>
      <c r="J3" t="s">
        <v>18</v>
      </c>
      <c r="K3" t="s">
        <v>16</v>
      </c>
      <c r="L3">
        <v>8</v>
      </c>
      <c r="M3" t="s">
        <v>17</v>
      </c>
      <c r="N3" t="s">
        <v>20</v>
      </c>
      <c r="O3" t="s">
        <v>16</v>
      </c>
      <c r="P3">
        <v>8</v>
      </c>
      <c r="Q3" t="s">
        <v>17</v>
      </c>
      <c r="R3">
        <v>60</v>
      </c>
      <c r="S3" s="6">
        <f>LineUp[[#This Row],[Time Difference]]/LineUp[[#This Row],[New Min Batch Time]]</f>
        <v>1.6666666666666667</v>
      </c>
      <c r="T3">
        <v>40</v>
      </c>
    </row>
    <row r="4" spans="1:21" x14ac:dyDescent="0.25">
      <c r="A4" s="1">
        <v>45533</v>
      </c>
      <c r="B4">
        <v>1</v>
      </c>
      <c r="C4" s="5">
        <v>1</v>
      </c>
      <c r="D4" t="s">
        <v>14</v>
      </c>
      <c r="E4">
        <v>2</v>
      </c>
      <c r="F4" t="s">
        <v>19</v>
      </c>
      <c r="G4" s="2">
        <v>0.65625</v>
      </c>
      <c r="H4" s="2">
        <v>0.73263888888888884</v>
      </c>
      <c r="I4">
        <v>110</v>
      </c>
      <c r="J4" t="s">
        <v>20</v>
      </c>
      <c r="K4" t="s">
        <v>16</v>
      </c>
      <c r="L4">
        <v>8</v>
      </c>
      <c r="M4" t="s">
        <v>17</v>
      </c>
      <c r="N4" t="s">
        <v>21</v>
      </c>
      <c r="O4" t="s">
        <v>16</v>
      </c>
      <c r="P4">
        <v>8</v>
      </c>
      <c r="Q4" t="s">
        <v>17</v>
      </c>
      <c r="R4">
        <v>60</v>
      </c>
      <c r="S4" s="6">
        <f>LineUp[[#This Row],[Time Difference]]/LineUp[[#This Row],[New Min Batch Time]]</f>
        <v>1.8333333333333333</v>
      </c>
      <c r="T4">
        <v>50</v>
      </c>
    </row>
    <row r="5" spans="1:21" x14ac:dyDescent="0.25">
      <c r="A5" s="1">
        <v>45533</v>
      </c>
      <c r="B5">
        <v>1</v>
      </c>
      <c r="C5" s="5">
        <v>1</v>
      </c>
      <c r="D5" t="s">
        <v>14</v>
      </c>
      <c r="E5">
        <v>2</v>
      </c>
      <c r="F5" t="s">
        <v>19</v>
      </c>
      <c r="G5" s="2">
        <v>0.73263888888888884</v>
      </c>
      <c r="H5" s="2">
        <v>0.80208333333333337</v>
      </c>
      <c r="I5">
        <v>100</v>
      </c>
      <c r="J5" t="s">
        <v>21</v>
      </c>
      <c r="K5" t="s">
        <v>16</v>
      </c>
      <c r="L5">
        <v>8</v>
      </c>
      <c r="M5" t="s">
        <v>17</v>
      </c>
      <c r="N5" t="s">
        <v>22</v>
      </c>
      <c r="O5" t="s">
        <v>16</v>
      </c>
      <c r="P5">
        <v>8</v>
      </c>
      <c r="Q5" t="s">
        <v>17</v>
      </c>
      <c r="R5">
        <v>60</v>
      </c>
      <c r="S5" s="6">
        <f>LineUp[[#This Row],[Time Difference]]/LineUp[[#This Row],[New Min Batch Time]]</f>
        <v>1.6666666666666667</v>
      </c>
      <c r="T5">
        <v>40</v>
      </c>
    </row>
    <row r="6" spans="1:21" x14ac:dyDescent="0.25">
      <c r="A6" s="1">
        <v>45533</v>
      </c>
      <c r="B6">
        <v>1</v>
      </c>
      <c r="C6" s="5">
        <v>2</v>
      </c>
      <c r="D6" t="s">
        <v>23</v>
      </c>
      <c r="E6">
        <v>2</v>
      </c>
      <c r="F6" t="s">
        <v>19</v>
      </c>
      <c r="G6" s="2">
        <v>0.80208333333333337</v>
      </c>
      <c r="H6" s="2">
        <v>0.86041666666666672</v>
      </c>
      <c r="I6">
        <v>84</v>
      </c>
      <c r="J6" t="s">
        <v>22</v>
      </c>
      <c r="K6" t="s">
        <v>16</v>
      </c>
      <c r="L6">
        <v>8</v>
      </c>
      <c r="M6" t="s">
        <v>17</v>
      </c>
      <c r="N6" t="s">
        <v>24</v>
      </c>
      <c r="O6" t="s">
        <v>16</v>
      </c>
      <c r="P6">
        <v>8</v>
      </c>
      <c r="Q6" t="s">
        <v>17</v>
      </c>
      <c r="R6">
        <v>60</v>
      </c>
      <c r="S6" s="6">
        <f>LineUp[[#This Row],[Time Difference]]/LineUp[[#This Row],[New Min Batch Time]]</f>
        <v>1.4</v>
      </c>
      <c r="T6">
        <v>24</v>
      </c>
    </row>
    <row r="7" spans="1:21" x14ac:dyDescent="0.25">
      <c r="A7" s="1">
        <v>45533</v>
      </c>
      <c r="B7">
        <v>1</v>
      </c>
      <c r="C7" s="5">
        <v>2</v>
      </c>
      <c r="D7" t="s">
        <v>23</v>
      </c>
      <c r="E7">
        <v>2</v>
      </c>
      <c r="F7" t="s">
        <v>19</v>
      </c>
      <c r="G7" s="2">
        <v>0.86041666666666672</v>
      </c>
      <c r="H7" s="2">
        <v>0.90208333333333335</v>
      </c>
      <c r="I7">
        <v>60</v>
      </c>
      <c r="J7" t="s">
        <v>24</v>
      </c>
      <c r="K7" t="s">
        <v>16</v>
      </c>
      <c r="L7">
        <v>8</v>
      </c>
      <c r="M7" t="s">
        <v>17</v>
      </c>
      <c r="N7" t="s">
        <v>25</v>
      </c>
      <c r="O7" t="s">
        <v>16</v>
      </c>
      <c r="P7">
        <v>8</v>
      </c>
      <c r="Q7" t="s">
        <v>17</v>
      </c>
      <c r="R7">
        <v>60</v>
      </c>
      <c r="S7" s="6">
        <f>LineUp[[#This Row],[Time Difference]]/LineUp[[#This Row],[New Min Batch Time]]</f>
        <v>1</v>
      </c>
      <c r="T7">
        <v>0</v>
      </c>
    </row>
    <row r="8" spans="1:21" x14ac:dyDescent="0.25">
      <c r="A8" s="1">
        <v>45533</v>
      </c>
      <c r="B8">
        <v>1</v>
      </c>
      <c r="C8" s="5">
        <v>2</v>
      </c>
      <c r="D8" t="s">
        <v>23</v>
      </c>
      <c r="E8">
        <v>2</v>
      </c>
      <c r="F8" t="s">
        <v>19</v>
      </c>
      <c r="G8" s="2">
        <v>0.90208333333333335</v>
      </c>
      <c r="H8" s="2">
        <v>0.95416666666666672</v>
      </c>
      <c r="I8">
        <v>75</v>
      </c>
      <c r="J8" t="s">
        <v>25</v>
      </c>
      <c r="K8" t="s">
        <v>16</v>
      </c>
      <c r="L8">
        <v>8</v>
      </c>
      <c r="M8" t="s">
        <v>17</v>
      </c>
      <c r="N8" t="s">
        <v>26</v>
      </c>
      <c r="O8" t="s">
        <v>16</v>
      </c>
      <c r="P8">
        <v>8</v>
      </c>
      <c r="Q8" t="s">
        <v>17</v>
      </c>
      <c r="R8">
        <v>60</v>
      </c>
      <c r="S8" s="6">
        <f>LineUp[[#This Row],[Time Difference]]/LineUp[[#This Row],[New Min Batch Time]]</f>
        <v>1.25</v>
      </c>
      <c r="T8">
        <v>15</v>
      </c>
    </row>
    <row r="9" spans="1:21" x14ac:dyDescent="0.25">
      <c r="A9" s="1">
        <v>45534</v>
      </c>
      <c r="B9">
        <v>1</v>
      </c>
      <c r="C9" s="5">
        <v>3</v>
      </c>
      <c r="D9" t="s">
        <v>28</v>
      </c>
      <c r="E9">
        <v>3</v>
      </c>
      <c r="F9" t="s">
        <v>27</v>
      </c>
      <c r="G9" s="2">
        <v>0.1701388888888889</v>
      </c>
      <c r="H9" s="2">
        <v>0.25347222222222221</v>
      </c>
      <c r="I9">
        <v>120</v>
      </c>
      <c r="J9" t="s">
        <v>29</v>
      </c>
      <c r="K9" t="s">
        <v>16</v>
      </c>
      <c r="L9">
        <v>8</v>
      </c>
      <c r="M9" t="s">
        <v>17</v>
      </c>
      <c r="N9" t="s">
        <v>30</v>
      </c>
      <c r="O9" t="s">
        <v>16</v>
      </c>
      <c r="P9">
        <v>8</v>
      </c>
      <c r="Q9" t="s">
        <v>17</v>
      </c>
      <c r="R9">
        <v>60</v>
      </c>
      <c r="S9" s="6">
        <f>LineUp[[#This Row],[Time Difference]]/LineUp[[#This Row],[New Min Batch Time]]</f>
        <v>2</v>
      </c>
      <c r="T9">
        <v>60</v>
      </c>
    </row>
    <row r="10" spans="1:21" x14ac:dyDescent="0.25">
      <c r="A10" s="1">
        <v>45534</v>
      </c>
      <c r="B10">
        <v>1</v>
      </c>
      <c r="C10" s="5">
        <v>3</v>
      </c>
      <c r="D10" t="s">
        <v>28</v>
      </c>
      <c r="E10">
        <v>3</v>
      </c>
      <c r="F10" t="s">
        <v>27</v>
      </c>
      <c r="G10" s="2">
        <v>0.25347222222222221</v>
      </c>
      <c r="H10" s="2">
        <v>0.3125</v>
      </c>
      <c r="I10">
        <v>85</v>
      </c>
      <c r="J10" t="s">
        <v>30</v>
      </c>
      <c r="K10" t="s">
        <v>16</v>
      </c>
      <c r="L10">
        <v>8</v>
      </c>
      <c r="M10" t="s">
        <v>17</v>
      </c>
      <c r="N10" t="s">
        <v>31</v>
      </c>
      <c r="O10" t="s">
        <v>16</v>
      </c>
      <c r="P10">
        <v>8</v>
      </c>
      <c r="Q10" t="s">
        <v>17</v>
      </c>
      <c r="R10">
        <v>60</v>
      </c>
      <c r="S10" s="6">
        <f>LineUp[[#This Row],[Time Difference]]/LineUp[[#This Row],[New Min Batch Time]]</f>
        <v>1.4166666666666667</v>
      </c>
      <c r="T10">
        <v>25</v>
      </c>
    </row>
    <row r="11" spans="1:21" x14ac:dyDescent="0.25">
      <c r="A11" s="1">
        <v>45534</v>
      </c>
      <c r="B11">
        <v>1</v>
      </c>
      <c r="C11" s="5">
        <v>3</v>
      </c>
      <c r="D11" t="s">
        <v>28</v>
      </c>
      <c r="E11">
        <v>3</v>
      </c>
      <c r="F11" t="s">
        <v>27</v>
      </c>
      <c r="G11" s="2">
        <v>0.3125</v>
      </c>
      <c r="H11" s="2">
        <v>0.39027777777777778</v>
      </c>
      <c r="I11">
        <v>112</v>
      </c>
      <c r="J11" t="s">
        <v>31</v>
      </c>
      <c r="K11" t="s">
        <v>16</v>
      </c>
      <c r="L11">
        <v>8</v>
      </c>
      <c r="M11" t="s">
        <v>17</v>
      </c>
      <c r="N11" t="s">
        <v>32</v>
      </c>
      <c r="O11" t="s">
        <v>16</v>
      </c>
      <c r="P11">
        <v>8</v>
      </c>
      <c r="Q11" t="s">
        <v>17</v>
      </c>
      <c r="R11">
        <v>60</v>
      </c>
      <c r="S11" s="6">
        <f>LineUp[[#This Row],[Time Difference]]/LineUp[[#This Row],[New Min Batch Time]]</f>
        <v>1.8666666666666667</v>
      </c>
      <c r="T11">
        <v>52</v>
      </c>
    </row>
    <row r="12" spans="1:21" x14ac:dyDescent="0.25">
      <c r="A12" s="1">
        <v>45534</v>
      </c>
      <c r="B12">
        <v>1</v>
      </c>
      <c r="C12" s="5">
        <v>4</v>
      </c>
      <c r="D12" t="s">
        <v>33</v>
      </c>
      <c r="E12">
        <v>3</v>
      </c>
      <c r="F12" t="s">
        <v>27</v>
      </c>
      <c r="G12" s="2">
        <v>0.39027777777777778</v>
      </c>
      <c r="H12" s="2">
        <v>0.44236111111111109</v>
      </c>
      <c r="I12">
        <v>75</v>
      </c>
      <c r="J12" t="s">
        <v>32</v>
      </c>
      <c r="K12" t="s">
        <v>16</v>
      </c>
      <c r="L12">
        <v>8</v>
      </c>
      <c r="M12" t="s">
        <v>17</v>
      </c>
      <c r="N12" t="s">
        <v>34</v>
      </c>
      <c r="O12" t="s">
        <v>16</v>
      </c>
      <c r="P12">
        <v>8</v>
      </c>
      <c r="Q12" t="s">
        <v>17</v>
      </c>
      <c r="R12">
        <v>60</v>
      </c>
      <c r="S12" s="6">
        <f>LineUp[[#This Row],[Time Difference]]/LineUp[[#This Row],[New Min Batch Time]]</f>
        <v>1.25</v>
      </c>
      <c r="T12">
        <v>15</v>
      </c>
    </row>
    <row r="13" spans="1:21" x14ac:dyDescent="0.25">
      <c r="A13" s="1">
        <v>45534</v>
      </c>
      <c r="B13">
        <v>1</v>
      </c>
      <c r="C13" s="5">
        <v>4</v>
      </c>
      <c r="D13" t="s">
        <v>33</v>
      </c>
      <c r="E13">
        <v>3</v>
      </c>
      <c r="F13" t="s">
        <v>27</v>
      </c>
      <c r="G13" s="2">
        <v>0.44236111111111109</v>
      </c>
      <c r="H13" s="2">
        <v>0.50138888888888888</v>
      </c>
      <c r="I13">
        <v>85</v>
      </c>
      <c r="J13" t="s">
        <v>34</v>
      </c>
      <c r="K13" t="s">
        <v>16</v>
      </c>
      <c r="L13">
        <v>8</v>
      </c>
      <c r="M13" t="s">
        <v>17</v>
      </c>
      <c r="N13" t="s">
        <v>16</v>
      </c>
      <c r="O13" t="s">
        <v>16</v>
      </c>
      <c r="P13">
        <v>8</v>
      </c>
      <c r="Q13" t="s">
        <v>17</v>
      </c>
      <c r="R13">
        <v>60</v>
      </c>
      <c r="S13" s="6">
        <f>LineUp[[#This Row],[Time Difference]]/LineUp[[#This Row],[New Min Batch Time]]</f>
        <v>1.4166666666666667</v>
      </c>
      <c r="T13">
        <v>25</v>
      </c>
    </row>
    <row r="14" spans="1:21" x14ac:dyDescent="0.25">
      <c r="A14" s="1">
        <v>45534</v>
      </c>
      <c r="B14">
        <v>1</v>
      </c>
      <c r="C14" s="5">
        <v>4</v>
      </c>
      <c r="D14" t="s">
        <v>33</v>
      </c>
      <c r="E14">
        <v>3</v>
      </c>
      <c r="F14" t="s">
        <v>27</v>
      </c>
      <c r="G14" s="2">
        <v>0.50138888888888888</v>
      </c>
      <c r="H14" s="2">
        <v>0.59375</v>
      </c>
      <c r="I14">
        <v>133</v>
      </c>
      <c r="J14" t="s">
        <v>16</v>
      </c>
      <c r="K14" t="s">
        <v>16</v>
      </c>
      <c r="L14">
        <v>8</v>
      </c>
      <c r="M14" t="s">
        <v>17</v>
      </c>
      <c r="N14" t="s">
        <v>18</v>
      </c>
      <c r="O14" t="s">
        <v>16</v>
      </c>
      <c r="P14">
        <v>8</v>
      </c>
      <c r="Q14" t="s">
        <v>17</v>
      </c>
      <c r="R14">
        <v>60</v>
      </c>
      <c r="S14" s="6">
        <f>LineUp[[#This Row],[Time Difference]]/LineUp[[#This Row],[New Min Batch Time]]</f>
        <v>2.2166666666666668</v>
      </c>
      <c r="T14">
        <v>73</v>
      </c>
    </row>
    <row r="15" spans="1:21" x14ac:dyDescent="0.25">
      <c r="A15" s="1">
        <v>45534</v>
      </c>
      <c r="B15">
        <v>1</v>
      </c>
      <c r="C15" s="5">
        <v>4</v>
      </c>
      <c r="D15" t="s">
        <v>33</v>
      </c>
      <c r="E15">
        <v>3</v>
      </c>
      <c r="F15" t="s">
        <v>27</v>
      </c>
      <c r="G15" s="2">
        <v>0.59375</v>
      </c>
      <c r="H15" s="2">
        <v>0.66319444444444442</v>
      </c>
      <c r="I15">
        <v>100</v>
      </c>
      <c r="J15" t="s">
        <v>18</v>
      </c>
      <c r="K15" t="s">
        <v>16</v>
      </c>
      <c r="L15">
        <v>8</v>
      </c>
      <c r="M15" t="s">
        <v>17</v>
      </c>
      <c r="N15" t="s">
        <v>20</v>
      </c>
      <c r="O15" t="s">
        <v>16</v>
      </c>
      <c r="P15">
        <v>8</v>
      </c>
      <c r="Q15" t="s">
        <v>17</v>
      </c>
      <c r="R15">
        <v>60</v>
      </c>
      <c r="S15" s="6">
        <f>LineUp[[#This Row],[Time Difference]]/LineUp[[#This Row],[New Min Batch Time]]</f>
        <v>1.6666666666666667</v>
      </c>
      <c r="T15">
        <v>40</v>
      </c>
    </row>
    <row r="16" spans="1:21" x14ac:dyDescent="0.25">
      <c r="A16" s="1">
        <v>45534</v>
      </c>
      <c r="B16">
        <v>1</v>
      </c>
      <c r="C16" s="5">
        <v>2</v>
      </c>
      <c r="D16" t="s">
        <v>23</v>
      </c>
      <c r="E16">
        <v>3</v>
      </c>
      <c r="F16" t="s">
        <v>27</v>
      </c>
      <c r="G16" s="2">
        <v>0.66319444444444442</v>
      </c>
      <c r="H16" s="2">
        <v>0.71875</v>
      </c>
      <c r="I16">
        <v>80</v>
      </c>
      <c r="J16" t="s">
        <v>20</v>
      </c>
      <c r="K16" t="s">
        <v>16</v>
      </c>
      <c r="L16">
        <v>8</v>
      </c>
      <c r="M16" t="s">
        <v>17</v>
      </c>
      <c r="N16" t="s">
        <v>21</v>
      </c>
      <c r="O16" t="s">
        <v>16</v>
      </c>
      <c r="P16">
        <v>8</v>
      </c>
      <c r="Q16" t="s">
        <v>17</v>
      </c>
      <c r="R16">
        <v>60</v>
      </c>
      <c r="S16" s="6">
        <f>LineUp[[#This Row],[Time Difference]]/LineUp[[#This Row],[New Min Batch Time]]</f>
        <v>1.3333333333333333</v>
      </c>
      <c r="T16">
        <v>20</v>
      </c>
    </row>
    <row r="17" spans="1:20" x14ac:dyDescent="0.25">
      <c r="A17" s="1">
        <v>45534</v>
      </c>
      <c r="B17">
        <v>1</v>
      </c>
      <c r="C17" s="5">
        <v>2</v>
      </c>
      <c r="D17" t="s">
        <v>23</v>
      </c>
      <c r="E17">
        <v>3</v>
      </c>
      <c r="F17" t="s">
        <v>27</v>
      </c>
      <c r="G17" s="2">
        <v>0.71875</v>
      </c>
      <c r="H17" s="2">
        <v>0.79097222222222219</v>
      </c>
      <c r="I17">
        <v>104</v>
      </c>
      <c r="J17" t="s">
        <v>21</v>
      </c>
      <c r="K17" t="s">
        <v>16</v>
      </c>
      <c r="L17">
        <v>8</v>
      </c>
      <c r="M17" t="s">
        <v>17</v>
      </c>
      <c r="N17" t="s">
        <v>35</v>
      </c>
      <c r="O17" t="s">
        <v>16</v>
      </c>
      <c r="P17">
        <v>8</v>
      </c>
      <c r="Q17" t="s">
        <v>17</v>
      </c>
      <c r="R17">
        <v>60</v>
      </c>
      <c r="S17" s="6">
        <f>LineUp[[#This Row],[Time Difference]]/LineUp[[#This Row],[New Min Batch Time]]</f>
        <v>1.7333333333333334</v>
      </c>
      <c r="T17">
        <v>44</v>
      </c>
    </row>
    <row r="18" spans="1:20" x14ac:dyDescent="0.25">
      <c r="A18" s="1">
        <v>45534</v>
      </c>
      <c r="B18">
        <v>1</v>
      </c>
      <c r="C18" s="5">
        <v>2</v>
      </c>
      <c r="D18" t="s">
        <v>23</v>
      </c>
      <c r="E18">
        <v>3</v>
      </c>
      <c r="F18" t="s">
        <v>27</v>
      </c>
      <c r="G18" s="2">
        <v>0.79097222222222219</v>
      </c>
      <c r="H18" s="2">
        <v>0.84861111111111109</v>
      </c>
      <c r="I18">
        <v>83</v>
      </c>
      <c r="J18" t="s">
        <v>35</v>
      </c>
      <c r="K18" t="s">
        <v>16</v>
      </c>
      <c r="L18">
        <v>8</v>
      </c>
      <c r="M18" t="s">
        <v>17</v>
      </c>
      <c r="N18" t="s">
        <v>24</v>
      </c>
      <c r="O18" t="s">
        <v>16</v>
      </c>
      <c r="P18">
        <v>8</v>
      </c>
      <c r="Q18" t="s">
        <v>17</v>
      </c>
      <c r="R18">
        <v>60</v>
      </c>
      <c r="S18" s="6">
        <f>LineUp[[#This Row],[Time Difference]]/LineUp[[#This Row],[New Min Batch Time]]</f>
        <v>1.3833333333333333</v>
      </c>
      <c r="T18">
        <v>23</v>
      </c>
    </row>
    <row r="19" spans="1:20" x14ac:dyDescent="0.25">
      <c r="A19" s="1">
        <v>45534</v>
      </c>
      <c r="B19">
        <v>1</v>
      </c>
      <c r="C19" s="5">
        <v>2</v>
      </c>
      <c r="D19" t="s">
        <v>23</v>
      </c>
      <c r="E19">
        <v>3</v>
      </c>
      <c r="F19" t="s">
        <v>27</v>
      </c>
      <c r="G19" s="2">
        <v>0.84861111111111109</v>
      </c>
      <c r="H19" s="2">
        <v>0.92638888888888893</v>
      </c>
      <c r="I19">
        <v>112</v>
      </c>
      <c r="J19" t="s">
        <v>24</v>
      </c>
      <c r="K19" t="s">
        <v>16</v>
      </c>
      <c r="L19">
        <v>8</v>
      </c>
      <c r="M19" t="s">
        <v>17</v>
      </c>
      <c r="N19" t="s">
        <v>26</v>
      </c>
      <c r="O19" t="s">
        <v>16</v>
      </c>
      <c r="P19">
        <v>8</v>
      </c>
      <c r="Q19" t="s">
        <v>17</v>
      </c>
      <c r="R19">
        <v>60</v>
      </c>
      <c r="S19" s="6">
        <f>LineUp[[#This Row],[Time Difference]]/LineUp[[#This Row],[New Min Batch Time]]</f>
        <v>1.8666666666666667</v>
      </c>
      <c r="T19">
        <v>52</v>
      </c>
    </row>
    <row r="20" spans="1:20" x14ac:dyDescent="0.25">
      <c r="A20" s="1">
        <v>45534</v>
      </c>
      <c r="B20">
        <v>1</v>
      </c>
      <c r="C20" s="5">
        <v>2</v>
      </c>
      <c r="D20" t="s">
        <v>23</v>
      </c>
      <c r="E20">
        <v>3</v>
      </c>
      <c r="F20" t="s">
        <v>27</v>
      </c>
      <c r="G20" s="2">
        <v>0.92638888888888893</v>
      </c>
      <c r="H20" s="2">
        <v>0.97847222222222219</v>
      </c>
      <c r="I20">
        <v>75</v>
      </c>
      <c r="J20" t="s">
        <v>26</v>
      </c>
      <c r="K20" t="s">
        <v>16</v>
      </c>
      <c r="L20">
        <v>8</v>
      </c>
      <c r="M20" t="s">
        <v>17</v>
      </c>
      <c r="N20" t="s">
        <v>36</v>
      </c>
      <c r="O20" t="s">
        <v>16</v>
      </c>
      <c r="P20">
        <v>8</v>
      </c>
      <c r="Q20" t="s">
        <v>17</v>
      </c>
      <c r="R20">
        <v>60</v>
      </c>
      <c r="S20" s="6">
        <f>LineUp[[#This Row],[Time Difference]]/LineUp[[#This Row],[New Min Batch Time]]</f>
        <v>1.25</v>
      </c>
      <c r="T20">
        <v>15</v>
      </c>
    </row>
    <row r="21" spans="1:20" x14ac:dyDescent="0.25">
      <c r="A21" s="1">
        <v>45535</v>
      </c>
      <c r="B21">
        <v>1</v>
      </c>
      <c r="C21" s="5">
        <v>3</v>
      </c>
      <c r="D21" t="s">
        <v>28</v>
      </c>
      <c r="E21">
        <v>3</v>
      </c>
      <c r="F21" t="s">
        <v>27</v>
      </c>
      <c r="G21" s="2">
        <v>0.32291666666666669</v>
      </c>
      <c r="H21" s="2">
        <v>0.37847222222222221</v>
      </c>
      <c r="I21">
        <v>80</v>
      </c>
      <c r="J21" t="s">
        <v>31</v>
      </c>
      <c r="K21" t="s">
        <v>16</v>
      </c>
      <c r="L21">
        <v>8</v>
      </c>
      <c r="M21" t="s">
        <v>17</v>
      </c>
      <c r="N21" t="s">
        <v>32</v>
      </c>
      <c r="O21" t="s">
        <v>16</v>
      </c>
      <c r="P21">
        <v>8</v>
      </c>
      <c r="Q21" t="s">
        <v>17</v>
      </c>
      <c r="R21">
        <v>60</v>
      </c>
      <c r="S21" s="6">
        <f>LineUp[[#This Row],[Time Difference]]/LineUp[[#This Row],[New Min Batch Time]]</f>
        <v>1.3333333333333333</v>
      </c>
      <c r="T21">
        <v>20</v>
      </c>
    </row>
    <row r="22" spans="1:20" x14ac:dyDescent="0.25">
      <c r="A22" s="1">
        <v>45535</v>
      </c>
      <c r="B22">
        <v>1</v>
      </c>
      <c r="C22" s="5">
        <v>3</v>
      </c>
      <c r="D22" t="s">
        <v>28</v>
      </c>
      <c r="E22">
        <v>3</v>
      </c>
      <c r="F22" t="s">
        <v>27</v>
      </c>
      <c r="G22" s="2">
        <v>0.37847222222222221</v>
      </c>
      <c r="H22" s="2">
        <v>0.44097222222222221</v>
      </c>
      <c r="I22">
        <v>90</v>
      </c>
      <c r="J22" t="s">
        <v>32</v>
      </c>
      <c r="K22" t="s">
        <v>16</v>
      </c>
      <c r="L22">
        <v>8</v>
      </c>
      <c r="M22" t="s">
        <v>17</v>
      </c>
      <c r="N22" t="s">
        <v>34</v>
      </c>
      <c r="O22" t="s">
        <v>16</v>
      </c>
      <c r="P22">
        <v>8</v>
      </c>
      <c r="Q22" t="s">
        <v>17</v>
      </c>
      <c r="R22">
        <v>60</v>
      </c>
      <c r="S22" s="6">
        <f>LineUp[[#This Row],[Time Difference]]/LineUp[[#This Row],[New Min Batch Time]]</f>
        <v>1.5</v>
      </c>
      <c r="T22">
        <v>30</v>
      </c>
    </row>
    <row r="23" spans="1:20" x14ac:dyDescent="0.25">
      <c r="A23" s="1">
        <v>45535</v>
      </c>
      <c r="B23">
        <v>1</v>
      </c>
      <c r="C23" s="5">
        <v>3</v>
      </c>
      <c r="D23" t="s">
        <v>28</v>
      </c>
      <c r="E23">
        <v>3</v>
      </c>
      <c r="F23" t="s">
        <v>27</v>
      </c>
      <c r="G23" s="2">
        <v>0.44097222222222221</v>
      </c>
      <c r="H23" s="2">
        <v>0.4826388888888889</v>
      </c>
      <c r="I23">
        <v>60</v>
      </c>
      <c r="J23" t="s">
        <v>34</v>
      </c>
      <c r="K23" t="s">
        <v>16</v>
      </c>
      <c r="L23">
        <v>8</v>
      </c>
      <c r="M23" t="s">
        <v>17</v>
      </c>
      <c r="N23" t="s">
        <v>15</v>
      </c>
      <c r="O23" t="s">
        <v>16</v>
      </c>
      <c r="P23">
        <v>8</v>
      </c>
      <c r="Q23" t="s">
        <v>17</v>
      </c>
      <c r="R23">
        <v>60</v>
      </c>
      <c r="S23" s="6">
        <f>LineUp[[#This Row],[Time Difference]]/LineUp[[#This Row],[New Min Batch Time]]</f>
        <v>1</v>
      </c>
      <c r="T23">
        <v>0</v>
      </c>
    </row>
    <row r="24" spans="1:20" x14ac:dyDescent="0.25">
      <c r="A24" s="1">
        <v>45535</v>
      </c>
      <c r="B24">
        <v>1</v>
      </c>
      <c r="C24" s="5">
        <v>3</v>
      </c>
      <c r="D24" t="s">
        <v>28</v>
      </c>
      <c r="E24">
        <v>4</v>
      </c>
      <c r="F24" t="s">
        <v>37</v>
      </c>
      <c r="G24" s="2">
        <v>0.4826388888888889</v>
      </c>
      <c r="H24" s="2">
        <v>0.53819444444444442</v>
      </c>
      <c r="I24">
        <v>80</v>
      </c>
      <c r="J24" t="s">
        <v>15</v>
      </c>
      <c r="K24" t="s">
        <v>16</v>
      </c>
      <c r="L24">
        <v>8</v>
      </c>
      <c r="M24" t="s">
        <v>17</v>
      </c>
      <c r="N24" t="s">
        <v>16</v>
      </c>
      <c r="O24" t="s">
        <v>16</v>
      </c>
      <c r="P24">
        <v>8</v>
      </c>
      <c r="Q24" t="s">
        <v>17</v>
      </c>
      <c r="R24">
        <v>60</v>
      </c>
      <c r="S24" s="6">
        <f>LineUp[[#This Row],[Time Difference]]/LineUp[[#This Row],[New Min Batch Time]]</f>
        <v>1.3333333333333333</v>
      </c>
      <c r="T24">
        <v>20</v>
      </c>
    </row>
    <row r="25" spans="1:20" x14ac:dyDescent="0.25">
      <c r="A25" s="1">
        <v>45535</v>
      </c>
      <c r="B25">
        <v>1</v>
      </c>
      <c r="C25" s="5">
        <v>1</v>
      </c>
      <c r="D25" t="s">
        <v>14</v>
      </c>
      <c r="E25">
        <v>4</v>
      </c>
      <c r="F25" t="s">
        <v>37</v>
      </c>
      <c r="G25" s="2">
        <v>0.53819444444444442</v>
      </c>
      <c r="H25" s="2">
        <v>0.61458333333333337</v>
      </c>
      <c r="I25">
        <v>110</v>
      </c>
      <c r="J25" t="s">
        <v>16</v>
      </c>
      <c r="K25" t="s">
        <v>16</v>
      </c>
      <c r="L25">
        <v>8</v>
      </c>
      <c r="M25" t="s">
        <v>17</v>
      </c>
      <c r="N25" t="s">
        <v>18</v>
      </c>
      <c r="O25" t="s">
        <v>16</v>
      </c>
      <c r="P25">
        <v>8</v>
      </c>
      <c r="Q25" t="s">
        <v>17</v>
      </c>
      <c r="R25">
        <v>60</v>
      </c>
      <c r="S25" s="6">
        <f>LineUp[[#This Row],[Time Difference]]/LineUp[[#This Row],[New Min Batch Time]]</f>
        <v>1.8333333333333333</v>
      </c>
      <c r="T25">
        <v>50</v>
      </c>
    </row>
    <row r="26" spans="1:20" x14ac:dyDescent="0.25">
      <c r="A26" s="1">
        <v>45535</v>
      </c>
      <c r="B26">
        <v>1</v>
      </c>
      <c r="C26" s="5">
        <v>1</v>
      </c>
      <c r="D26" t="s">
        <v>14</v>
      </c>
      <c r="E26">
        <v>4</v>
      </c>
      <c r="F26" t="s">
        <v>37</v>
      </c>
      <c r="G26" s="2">
        <v>0.61458333333333337</v>
      </c>
      <c r="H26" s="2">
        <v>0.6875</v>
      </c>
      <c r="I26">
        <v>105</v>
      </c>
      <c r="J26" t="s">
        <v>18</v>
      </c>
      <c r="K26" t="s">
        <v>16</v>
      </c>
      <c r="L26">
        <v>8</v>
      </c>
      <c r="M26" t="s">
        <v>17</v>
      </c>
      <c r="N26" t="s">
        <v>38</v>
      </c>
      <c r="O26" t="s">
        <v>16</v>
      </c>
      <c r="P26">
        <v>8</v>
      </c>
      <c r="Q26" t="s">
        <v>17</v>
      </c>
      <c r="R26">
        <v>60</v>
      </c>
      <c r="S26" s="6">
        <f>LineUp[[#This Row],[Time Difference]]/LineUp[[#This Row],[New Min Batch Time]]</f>
        <v>1.75</v>
      </c>
      <c r="T26">
        <v>45</v>
      </c>
    </row>
    <row r="27" spans="1:20" x14ac:dyDescent="0.25">
      <c r="A27" s="1">
        <v>45535</v>
      </c>
      <c r="B27">
        <v>1</v>
      </c>
      <c r="C27" s="5">
        <v>1</v>
      </c>
      <c r="D27" t="s">
        <v>14</v>
      </c>
      <c r="E27">
        <v>4</v>
      </c>
      <c r="F27" t="s">
        <v>37</v>
      </c>
      <c r="G27" s="2">
        <v>0.6875</v>
      </c>
      <c r="H27" s="2">
        <v>0.72916666666666663</v>
      </c>
      <c r="I27">
        <v>60</v>
      </c>
      <c r="J27" t="s">
        <v>38</v>
      </c>
      <c r="K27" t="s">
        <v>16</v>
      </c>
      <c r="L27">
        <v>8</v>
      </c>
      <c r="M27" t="s">
        <v>17</v>
      </c>
      <c r="N27" t="s">
        <v>21</v>
      </c>
      <c r="O27" t="s">
        <v>16</v>
      </c>
      <c r="P27">
        <v>8</v>
      </c>
      <c r="Q27" t="s">
        <v>17</v>
      </c>
      <c r="R27">
        <v>60</v>
      </c>
      <c r="S27" s="6">
        <f>LineUp[[#This Row],[Time Difference]]/LineUp[[#This Row],[New Min Batch Time]]</f>
        <v>1</v>
      </c>
      <c r="T27">
        <v>0</v>
      </c>
    </row>
    <row r="28" spans="1:20" x14ac:dyDescent="0.25">
      <c r="A28" s="1">
        <v>45537</v>
      </c>
      <c r="B28">
        <v>1</v>
      </c>
      <c r="C28" s="5">
        <v>3</v>
      </c>
      <c r="D28" t="s">
        <v>28</v>
      </c>
      <c r="E28">
        <v>5</v>
      </c>
      <c r="F28" t="s">
        <v>39</v>
      </c>
      <c r="G28" s="2">
        <v>4.1666666666666664E-2</v>
      </c>
      <c r="H28" s="2">
        <v>0.11458333333333333</v>
      </c>
      <c r="I28">
        <v>105</v>
      </c>
      <c r="J28" t="s">
        <v>40</v>
      </c>
      <c r="K28" t="s">
        <v>16</v>
      </c>
      <c r="L28">
        <v>9</v>
      </c>
      <c r="M28" t="s">
        <v>41</v>
      </c>
      <c r="N28" t="s">
        <v>42</v>
      </c>
      <c r="O28" t="s">
        <v>16</v>
      </c>
      <c r="P28">
        <v>9</v>
      </c>
      <c r="Q28" t="s">
        <v>41</v>
      </c>
      <c r="R28">
        <v>60</v>
      </c>
      <c r="S28" s="6">
        <f>LineUp[[#This Row],[Time Difference]]/LineUp[[#This Row],[New Min Batch Time]]</f>
        <v>1.75</v>
      </c>
      <c r="T28">
        <v>45</v>
      </c>
    </row>
    <row r="29" spans="1:20" x14ac:dyDescent="0.25">
      <c r="A29" s="1">
        <v>45537</v>
      </c>
      <c r="B29">
        <v>1</v>
      </c>
      <c r="C29" s="5">
        <v>3</v>
      </c>
      <c r="D29" t="s">
        <v>28</v>
      </c>
      <c r="E29">
        <v>5</v>
      </c>
      <c r="F29" t="s">
        <v>39</v>
      </c>
      <c r="G29" s="2">
        <v>0.11458333333333333</v>
      </c>
      <c r="H29" s="2">
        <v>0.1701388888888889</v>
      </c>
      <c r="I29">
        <v>80</v>
      </c>
      <c r="J29" t="s">
        <v>42</v>
      </c>
      <c r="K29" t="s">
        <v>16</v>
      </c>
      <c r="L29">
        <v>9</v>
      </c>
      <c r="M29" t="s">
        <v>41</v>
      </c>
      <c r="N29" t="s">
        <v>29</v>
      </c>
      <c r="O29" t="s">
        <v>16</v>
      </c>
      <c r="P29">
        <v>9</v>
      </c>
      <c r="Q29" t="s">
        <v>41</v>
      </c>
      <c r="R29">
        <v>60</v>
      </c>
      <c r="S29" s="6">
        <f>LineUp[[#This Row],[Time Difference]]/LineUp[[#This Row],[New Min Batch Time]]</f>
        <v>1.3333333333333333</v>
      </c>
      <c r="T29">
        <v>20</v>
      </c>
    </row>
    <row r="30" spans="1:20" x14ac:dyDescent="0.25">
      <c r="A30" s="1">
        <v>45537</v>
      </c>
      <c r="B30">
        <v>1</v>
      </c>
      <c r="C30" s="5">
        <v>3</v>
      </c>
      <c r="D30" t="s">
        <v>28</v>
      </c>
      <c r="E30">
        <v>5</v>
      </c>
      <c r="F30" t="s">
        <v>39</v>
      </c>
      <c r="G30" s="2">
        <v>0.1701388888888889</v>
      </c>
      <c r="H30" s="2">
        <v>0.2361111111111111</v>
      </c>
      <c r="I30">
        <v>95</v>
      </c>
      <c r="J30" t="s">
        <v>29</v>
      </c>
      <c r="K30" t="s">
        <v>16</v>
      </c>
      <c r="L30">
        <v>9</v>
      </c>
      <c r="M30" t="s">
        <v>41</v>
      </c>
      <c r="N30" t="s">
        <v>43</v>
      </c>
      <c r="O30" t="s">
        <v>16</v>
      </c>
      <c r="P30">
        <v>9</v>
      </c>
      <c r="Q30" t="s">
        <v>41</v>
      </c>
      <c r="R30">
        <v>60</v>
      </c>
      <c r="S30" s="6">
        <f>LineUp[[#This Row],[Time Difference]]/LineUp[[#This Row],[New Min Batch Time]]</f>
        <v>1.5833333333333333</v>
      </c>
      <c r="T30">
        <v>35</v>
      </c>
    </row>
    <row r="31" spans="1:20" x14ac:dyDescent="0.25">
      <c r="A31" s="1">
        <v>45537</v>
      </c>
      <c r="B31">
        <v>1</v>
      </c>
      <c r="C31" s="5">
        <v>3</v>
      </c>
      <c r="D31" t="s">
        <v>28</v>
      </c>
      <c r="E31">
        <v>5</v>
      </c>
      <c r="F31" t="s">
        <v>39</v>
      </c>
      <c r="G31" s="2">
        <v>0.2361111111111111</v>
      </c>
      <c r="H31" s="2">
        <v>0.3215277777777778</v>
      </c>
      <c r="I31">
        <v>123</v>
      </c>
      <c r="J31" t="s">
        <v>43</v>
      </c>
      <c r="K31" t="s">
        <v>16</v>
      </c>
      <c r="L31">
        <v>9</v>
      </c>
      <c r="M31" t="s">
        <v>41</v>
      </c>
      <c r="N31" t="s">
        <v>31</v>
      </c>
      <c r="O31" t="s">
        <v>16</v>
      </c>
      <c r="P31">
        <v>9</v>
      </c>
      <c r="Q31" t="s">
        <v>41</v>
      </c>
      <c r="R31">
        <v>60</v>
      </c>
      <c r="S31" s="6">
        <f>LineUp[[#This Row],[Time Difference]]/LineUp[[#This Row],[New Min Batch Time]]</f>
        <v>2.0499999999999998</v>
      </c>
      <c r="T31">
        <v>63</v>
      </c>
    </row>
    <row r="32" spans="1:20" x14ac:dyDescent="0.25">
      <c r="A32" s="1">
        <v>45537</v>
      </c>
      <c r="B32">
        <v>1</v>
      </c>
      <c r="C32" s="5">
        <v>4</v>
      </c>
      <c r="D32" t="s">
        <v>33</v>
      </c>
      <c r="E32">
        <v>5</v>
      </c>
      <c r="F32" t="s">
        <v>39</v>
      </c>
      <c r="G32" s="2">
        <v>0.3215277777777778</v>
      </c>
      <c r="H32" s="2">
        <v>0.36805555555555558</v>
      </c>
      <c r="I32">
        <v>67</v>
      </c>
      <c r="J32" t="s">
        <v>31</v>
      </c>
      <c r="K32" t="s">
        <v>16</v>
      </c>
      <c r="L32">
        <v>9</v>
      </c>
      <c r="M32" t="s">
        <v>41</v>
      </c>
      <c r="N32" t="s">
        <v>44</v>
      </c>
      <c r="O32" t="s">
        <v>16</v>
      </c>
      <c r="P32">
        <v>9</v>
      </c>
      <c r="Q32" t="s">
        <v>41</v>
      </c>
      <c r="R32">
        <v>60</v>
      </c>
      <c r="S32" s="6">
        <f>LineUp[[#This Row],[Time Difference]]/LineUp[[#This Row],[New Min Batch Time]]</f>
        <v>1.1166666666666667</v>
      </c>
      <c r="T32">
        <v>7</v>
      </c>
    </row>
    <row r="33" spans="1:20" x14ac:dyDescent="0.25">
      <c r="A33" s="1">
        <v>45537</v>
      </c>
      <c r="B33">
        <v>1</v>
      </c>
      <c r="C33" s="5">
        <v>4</v>
      </c>
      <c r="D33" t="s">
        <v>33</v>
      </c>
      <c r="E33">
        <v>5</v>
      </c>
      <c r="F33" t="s">
        <v>39</v>
      </c>
      <c r="G33" s="2">
        <v>0.36805555555555558</v>
      </c>
      <c r="H33" s="2">
        <v>0.43055555555555558</v>
      </c>
      <c r="I33">
        <v>90</v>
      </c>
      <c r="J33" t="s">
        <v>44</v>
      </c>
      <c r="K33" t="s">
        <v>16</v>
      </c>
      <c r="L33">
        <v>9</v>
      </c>
      <c r="M33" t="s">
        <v>41</v>
      </c>
      <c r="N33" t="s">
        <v>34</v>
      </c>
      <c r="O33" t="s">
        <v>16</v>
      </c>
      <c r="P33">
        <v>9</v>
      </c>
      <c r="Q33" t="s">
        <v>41</v>
      </c>
      <c r="R33">
        <v>60</v>
      </c>
      <c r="S33" s="6">
        <f>LineUp[[#This Row],[Time Difference]]/LineUp[[#This Row],[New Min Batch Time]]</f>
        <v>1.5</v>
      </c>
      <c r="T33">
        <v>30</v>
      </c>
    </row>
    <row r="34" spans="1:20" x14ac:dyDescent="0.25">
      <c r="A34" s="1">
        <v>45537</v>
      </c>
      <c r="B34">
        <v>1</v>
      </c>
      <c r="C34" s="5">
        <v>4</v>
      </c>
      <c r="D34" t="s">
        <v>33</v>
      </c>
      <c r="E34">
        <v>5</v>
      </c>
      <c r="F34" t="s">
        <v>39</v>
      </c>
      <c r="G34" s="2">
        <v>0.43055555555555558</v>
      </c>
      <c r="H34" s="2">
        <v>0.51249999999999996</v>
      </c>
      <c r="I34">
        <v>118</v>
      </c>
      <c r="J34" t="s">
        <v>34</v>
      </c>
      <c r="K34" t="s">
        <v>16</v>
      </c>
      <c r="L34">
        <v>9</v>
      </c>
      <c r="M34" t="s">
        <v>41</v>
      </c>
      <c r="N34" t="s">
        <v>16</v>
      </c>
      <c r="O34" t="s">
        <v>16</v>
      </c>
      <c r="P34">
        <v>9</v>
      </c>
      <c r="Q34" t="s">
        <v>41</v>
      </c>
      <c r="R34">
        <v>60</v>
      </c>
      <c r="S34" s="6">
        <f>LineUp[[#This Row],[Time Difference]]/LineUp[[#This Row],[New Min Batch Time]]</f>
        <v>1.9666666666666666</v>
      </c>
      <c r="T34">
        <v>58</v>
      </c>
    </row>
    <row r="35" spans="1:20" x14ac:dyDescent="0.25">
      <c r="A35" s="1">
        <v>45537</v>
      </c>
      <c r="B35">
        <v>1</v>
      </c>
      <c r="C35" s="5">
        <v>4</v>
      </c>
      <c r="D35" t="s">
        <v>33</v>
      </c>
      <c r="E35">
        <v>6</v>
      </c>
      <c r="F35" t="s">
        <v>45</v>
      </c>
      <c r="G35" s="2">
        <v>0.51249999999999996</v>
      </c>
      <c r="H35" s="2">
        <v>0.61805555555555558</v>
      </c>
      <c r="I35">
        <v>152</v>
      </c>
      <c r="J35" t="s">
        <v>16</v>
      </c>
      <c r="K35" t="s">
        <v>16</v>
      </c>
      <c r="L35">
        <v>9</v>
      </c>
      <c r="M35" t="s">
        <v>41</v>
      </c>
      <c r="N35" t="s">
        <v>18</v>
      </c>
      <c r="O35" t="s">
        <v>16</v>
      </c>
      <c r="P35">
        <v>9</v>
      </c>
      <c r="Q35" t="s">
        <v>41</v>
      </c>
      <c r="R35">
        <v>98</v>
      </c>
      <c r="S35" s="6">
        <f>LineUp[[#This Row],[Time Difference]]/LineUp[[#This Row],[New Min Batch Time]]</f>
        <v>1.5510204081632653</v>
      </c>
      <c r="T35">
        <v>54</v>
      </c>
    </row>
    <row r="36" spans="1:20" x14ac:dyDescent="0.25">
      <c r="A36" s="1">
        <v>45537</v>
      </c>
      <c r="B36">
        <v>1</v>
      </c>
      <c r="C36" s="5">
        <v>2</v>
      </c>
      <c r="D36" t="s">
        <v>23</v>
      </c>
      <c r="E36">
        <v>6</v>
      </c>
      <c r="F36" t="s">
        <v>45</v>
      </c>
      <c r="G36" s="2">
        <v>0.61805555555555558</v>
      </c>
      <c r="H36" s="2">
        <v>0.70138888888888884</v>
      </c>
      <c r="I36">
        <v>120</v>
      </c>
      <c r="J36" t="s">
        <v>18</v>
      </c>
      <c r="K36" t="s">
        <v>16</v>
      </c>
      <c r="L36">
        <v>9</v>
      </c>
      <c r="M36" t="s">
        <v>41</v>
      </c>
      <c r="N36" t="s">
        <v>38</v>
      </c>
      <c r="O36" t="s">
        <v>16</v>
      </c>
      <c r="P36">
        <v>9</v>
      </c>
      <c r="Q36" t="s">
        <v>41</v>
      </c>
      <c r="R36">
        <v>98</v>
      </c>
      <c r="S36" s="6">
        <f>LineUp[[#This Row],[Time Difference]]/LineUp[[#This Row],[New Min Batch Time]]</f>
        <v>1.2244897959183674</v>
      </c>
      <c r="T36">
        <v>22</v>
      </c>
    </row>
    <row r="37" spans="1:20" x14ac:dyDescent="0.25">
      <c r="A37" s="1">
        <v>45537</v>
      </c>
      <c r="B37">
        <v>1</v>
      </c>
      <c r="C37" s="5">
        <v>2</v>
      </c>
      <c r="D37" t="s">
        <v>23</v>
      </c>
      <c r="E37">
        <v>6</v>
      </c>
      <c r="F37" t="s">
        <v>45</v>
      </c>
      <c r="G37" s="2">
        <v>0.70138888888888884</v>
      </c>
      <c r="H37" s="2">
        <v>0.8125</v>
      </c>
      <c r="I37">
        <v>160</v>
      </c>
      <c r="J37" t="s">
        <v>38</v>
      </c>
      <c r="K37" t="s">
        <v>16</v>
      </c>
      <c r="L37">
        <v>9</v>
      </c>
      <c r="M37" t="s">
        <v>41</v>
      </c>
      <c r="N37" t="s">
        <v>22</v>
      </c>
      <c r="O37" t="s">
        <v>16</v>
      </c>
      <c r="P37">
        <v>9</v>
      </c>
      <c r="Q37" t="s">
        <v>41</v>
      </c>
      <c r="R37">
        <v>98</v>
      </c>
      <c r="S37" s="6">
        <f>LineUp[[#This Row],[Time Difference]]/LineUp[[#This Row],[New Min Batch Time]]</f>
        <v>1.6326530612244898</v>
      </c>
      <c r="T37">
        <v>62</v>
      </c>
    </row>
    <row r="38" spans="1:20" x14ac:dyDescent="0.25">
      <c r="A38" s="1">
        <v>45537</v>
      </c>
      <c r="B38">
        <v>1</v>
      </c>
      <c r="C38" s="5">
        <v>2</v>
      </c>
      <c r="D38" t="s">
        <v>23</v>
      </c>
      <c r="E38">
        <v>6</v>
      </c>
      <c r="F38" t="s">
        <v>45</v>
      </c>
      <c r="G38" s="2">
        <v>0.8125</v>
      </c>
      <c r="H38" s="2">
        <v>0.95486111111111116</v>
      </c>
      <c r="I38">
        <v>205</v>
      </c>
      <c r="J38" t="s">
        <v>22</v>
      </c>
      <c r="K38" t="s">
        <v>16</v>
      </c>
      <c r="L38">
        <v>9</v>
      </c>
      <c r="M38" t="s">
        <v>41</v>
      </c>
      <c r="N38" t="s">
        <v>26</v>
      </c>
      <c r="O38" t="s">
        <v>16</v>
      </c>
      <c r="P38">
        <v>9</v>
      </c>
      <c r="Q38" t="s">
        <v>41</v>
      </c>
      <c r="R38">
        <v>98</v>
      </c>
      <c r="S38" s="6">
        <f>LineUp[[#This Row],[Time Difference]]/LineUp[[#This Row],[New Min Batch Time]]</f>
        <v>2.0918367346938775</v>
      </c>
      <c r="T38">
        <v>107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CFBF-701C-4B25-9019-6B5B8705F3D6}">
  <dimension ref="A1:B1"/>
  <sheetViews>
    <sheetView workbookViewId="0">
      <selection activeCell="H10" sqref="H10"/>
    </sheetView>
  </sheetViews>
  <sheetFormatPr defaultRowHeight="15" x14ac:dyDescent="0.25"/>
  <sheetData>
    <row r="1" spans="1:2" x14ac:dyDescent="0.25">
      <c r="A1" s="4" t="s">
        <v>47</v>
      </c>
      <c r="B1" s="4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58975-2F13-40F6-89E7-A33E38A4B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Σταύρος Κανελακόπουλος</dc:creator>
  <cp:lastModifiedBy>Σταύρος Κανελακόπουλος</cp:lastModifiedBy>
  <dcterms:created xsi:type="dcterms:W3CDTF">2026-06-13T21:26:09Z</dcterms:created>
  <dcterms:modified xsi:type="dcterms:W3CDTF">2026-06-23T23:43:37Z</dcterms:modified>
</cp:coreProperties>
</file>